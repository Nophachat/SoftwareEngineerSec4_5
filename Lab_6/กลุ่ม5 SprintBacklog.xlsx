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ofen_5\SoftwareEngineerSec4_5\Lab_6\"/>
    </mc:Choice>
  </mc:AlternateContent>
  <xr:revisionPtr revIDLastSave="0" documentId="13_ncr:1_{6F45C0FF-4DDC-46BB-8D0F-FA704E7E9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1" l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R19" i="1"/>
  <c r="Q19" i="1"/>
  <c r="P19" i="1"/>
  <c r="O19" i="1"/>
  <c r="N19" i="1"/>
  <c r="R12" i="1"/>
  <c r="Q12" i="1"/>
  <c r="P12" i="1"/>
  <c r="O12" i="1"/>
  <c r="R6" i="1"/>
  <c r="Q6" i="1"/>
  <c r="P6" i="1"/>
  <c r="O6" i="1"/>
  <c r="N6" i="1"/>
</calcChain>
</file>

<file path=xl/sharedStrings.xml><?xml version="1.0" encoding="utf-8"?>
<sst xmlns="http://schemas.openxmlformats.org/spreadsheetml/2006/main" count="58" uniqueCount="42">
  <si>
    <t>Sprint Backlog</t>
  </si>
  <si>
    <t>***หมายเหตุ: กำหนดให้แต่ละ Sprint มีความยาว 1 สัปดาห์เท่ากัน</t>
  </si>
  <si>
    <t>จำนวนวันทั้งหมด 5 วัน /สัปดาห์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</si>
  <si>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</si>
  <si>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</si>
  <si>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</si>
  <si>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</si>
  <si>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</si>
  <si>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</si>
  <si>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actual</t>
  </si>
  <si>
    <t>Day</t>
  </si>
  <si>
    <t>As a student, I want to check on my final exam dates so that I can plan ahead.</t>
  </si>
  <si>
    <t xml:space="preserve">Task 1 วิเคราะห์ความต้องการของระบบ
</t>
  </si>
  <si>
    <t>ทุกคน</t>
  </si>
  <si>
    <t>Hours</t>
  </si>
  <si>
    <t>Task 2 ออกแบบ Wireframe หน้าตารางสอบ</t>
  </si>
  <si>
    <t>สิตานัน,ปิติ</t>
  </si>
  <si>
    <t>Task 3 ออกแบบ UI สำหรับผู้ใช้ที่ Login</t>
  </si>
  <si>
    <t>Task 4 ออกแบบ UI สำหรับผู้ใช้ที่ไม่ Login</t>
  </si>
  <si>
    <t>เกษราภรณ์,ปิติ</t>
  </si>
  <si>
    <t>Task 5 ออกแบบฟิลเตอร์ค้นหา (รหัสวิชา, Section)</t>
  </si>
  <si>
    <t>As a user, I want to view the exam schedule both with login and without login so that I can access exam information conveniently.</t>
  </si>
  <si>
    <t>Task 6 พัฒนาหน้าการ Login</t>
  </si>
  <si>
    <t>ปาณวัฒน์,ณัฐภัทร</t>
  </si>
  <si>
    <t>Task 7 ตรวจสอบสิทธิ์ผู้ใช้ ผ่าน KKU SSO</t>
  </si>
  <si>
    <t>ณัฐภัทร</t>
  </si>
  <si>
    <t>Task 8 เชื่อมต่อฐานข้อมูลตารางสอบ</t>
  </si>
  <si>
    <t>Task 9 พัฒนาการแสดงข้อมูลตารางสอบของผู้ใช้ที่ Login</t>
  </si>
  <si>
    <t>ปาณวัฒน์,ญานวิทย์</t>
  </si>
  <si>
    <t>Task 10 ออกแบบฟอร์มค้นหาตารางสอบ (ไม่ Login)</t>
  </si>
  <si>
    <t>Task 11 พัฒนาฟังก์ชันการค้นหาข้อมูลตารางสอบจากฐานข้อมูล</t>
  </si>
  <si>
    <t>Task 12 พัฒนารูปเเบบการแสดงผลลัพธ์ตารางสอบสำหรับผู้ใช้ที่ไม่ Login</t>
  </si>
  <si>
    <t>As a user, I want to export the exam schedule as a PDF and ensure the system works correctly before deployment.</t>
  </si>
  <si>
    <t>Task 13 เตรียมรูปแบบหน้าตารางสอบสำหรับการดาวน์โหลด</t>
  </si>
  <si>
    <t>ปาณวัฒน์</t>
  </si>
  <si>
    <t>Task 14 ใช้ไลบรารีในการส่งออกหน้าเว็บเป็นไฟล์ PDF</t>
  </si>
  <si>
    <t>Task 15 รองรับการส่งออก PDF สำหรับผู้ใช้แบบ Login และไม่ Login</t>
  </si>
  <si>
    <t>Task 16 ทดสอบฟังก์ชันทั้งหมดด้วย Unit Test</t>
  </si>
  <si>
    <t>นพชาติ</t>
  </si>
  <si>
    <t>Task 17 ทดสอบ UI/UX ด้วย Manual Test และ Automate Test (Robot Framework)</t>
  </si>
  <si>
    <t>Task 18 สรุปผลการทดสอบระบบ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</si>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</sst>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20"/>
      <color theme="1"/>
      <name val="Cordia New"/>
    </font>
    <font>
      <sz val="20"/>
      <color theme="1"/>
      <name val="Cordia New"/>
    </font>
    <font>
      <b/>
      <sz val="20"/>
      <color rgb="FF000000"/>
      <name val="Cordia New"/>
    </font>
    <font>
      <sz val="11"/>
      <name val="Calibri"/>
    </font>
    <font>
      <sz val="20"/>
      <color rgb="FF000000"/>
      <name val="Cordia New"/>
    </font>
    <font>
      <sz val="11"/>
      <color theme="1"/>
      <name val="Calibri"/>
    </font>
    <font>
      <sz val="18"/>
      <color theme="1"/>
      <name val="Calibri"/>
    </font>
    <font>
      <sz val="13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8" fillId="0" borderId="2" xfId="0" applyFont="1" applyBorder="1"/>
    <xf numFmtId="0" fontId="9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6" xfId="0" applyFont="1" applyBorder="1"/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 vs.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Example!$M$12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A4C2F4">
                  <a:alpha val="100000"/>
                </a:srgbClr>
              </a:solidFill>
              <a:ln cmpd="sng">
                <a:solidFill>
                  <a:srgbClr val="A4C2F4">
                    <a:alpha val="100000"/>
                  </a:srgbClr>
                </a:solidFill>
              </a:ln>
            </c:spPr>
          </c:marker>
          <c:cat>
            <c:numRef>
              <c:f>Example!$N$11:$R$11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Example!$N$12:$R$12</c:f>
              <c:numCache>
                <c:formatCode>General</c:formatCode>
                <c:ptCount val="5"/>
                <c:pt idx="0">
                  <c:v>58</c:v>
                </c:pt>
                <c:pt idx="1">
                  <c:v>58</c:v>
                </c:pt>
                <c:pt idx="2">
                  <c:v>52</c:v>
                </c:pt>
                <c:pt idx="3">
                  <c:v>20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3-4AE9-891A-D070D58F8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122196"/>
        <c:axId val="1634881023"/>
      </c:lineChart>
      <c:catAx>
        <c:axId val="33412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34881023"/>
        <c:crosses val="autoZero"/>
        <c:auto val="1"/>
        <c:lblAlgn val="ctr"/>
        <c:lblOffset val="100"/>
        <c:noMultiLvlLbl val="1"/>
      </c:catAx>
      <c:valAx>
        <c:axId val="1634881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341221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 vs.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Example!$M$6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numRef>
              <c:f>Example!$N$5:$R$5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Example!$N$6:$R$6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17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3-49D7-A2AA-4403D368D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590"/>
        <c:axId val="1604273230"/>
      </c:lineChart>
      <c:catAx>
        <c:axId val="1844509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04273230"/>
        <c:crosses val="autoZero"/>
        <c:auto val="1"/>
        <c:lblAlgn val="ctr"/>
        <c:lblOffset val="100"/>
        <c:noMultiLvlLbl val="1"/>
      </c:catAx>
      <c:valAx>
        <c:axId val="1604273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445095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 vs.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Example!$M$19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numRef>
              <c:f>Example!$N$18:$R$18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Example!$N$19:$R$19</c:f>
              <c:numCache>
                <c:formatCode>General</c:formatCode>
                <c:ptCount val="5"/>
                <c:pt idx="0">
                  <c:v>38</c:v>
                </c:pt>
                <c:pt idx="1">
                  <c:v>38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2-424D-AB50-4541BCD7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538066"/>
        <c:axId val="347536745"/>
      </c:lineChart>
      <c:catAx>
        <c:axId val="1857538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47536745"/>
        <c:crosses val="autoZero"/>
        <c:auto val="1"/>
        <c:lblAlgn val="ctr"/>
        <c:lblOffset val="100"/>
        <c:noMultiLvlLbl val="1"/>
      </c:catAx>
      <c:valAx>
        <c:axId val="347536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575380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 vs.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Example!$J$27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numRef>
              <c:f>Example!$K$26:$Y$26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Example!$K$27:$Y$27</c:f>
              <c:numCache>
                <c:formatCode>General</c:formatCode>
                <c:ptCount val="15"/>
                <c:pt idx="0">
                  <c:v>117</c:v>
                </c:pt>
                <c:pt idx="1">
                  <c:v>117</c:v>
                </c:pt>
                <c:pt idx="2">
                  <c:v>113</c:v>
                </c:pt>
                <c:pt idx="3">
                  <c:v>101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90</c:v>
                </c:pt>
                <c:pt idx="8">
                  <c:v>58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9-4B95-8CE6-1B72A39A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102596"/>
        <c:axId val="1235113452"/>
      </c:lineChart>
      <c:catAx>
        <c:axId val="1696102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35113452"/>
        <c:crosses val="autoZero"/>
        <c:auto val="1"/>
        <c:lblAlgn val="ctr"/>
        <c:lblOffset val="100"/>
        <c:noMultiLvlLbl val="1"/>
      </c:catAx>
      <c:valAx>
        <c:axId val="1235113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961025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209550</xdr:colOff>
      <xdr:row>10</xdr:row>
      <xdr:rowOff>9525</xdr:rowOff>
    </xdr:from>
    <xdr:ext cx="3467100" cy="21431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209550</xdr:colOff>
      <xdr:row>4</xdr:row>
      <xdr:rowOff>76200</xdr:rowOff>
    </xdr:from>
    <xdr:ext cx="3524250" cy="2181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209550</xdr:colOff>
      <xdr:row>16</xdr:row>
      <xdr:rowOff>457200</xdr:rowOff>
    </xdr:from>
    <xdr:ext cx="3590925" cy="22288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13</xdr:col>
      <xdr:colOff>209550</xdr:colOff>
      <xdr:row>29</xdr:row>
      <xdr:rowOff>66675</xdr:rowOff>
    </xdr:from>
    <xdr:ext cx="5276850" cy="325755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5"/>
  <sheetViews>
    <sheetView tabSelected="1" topLeftCell="C11" workbookViewId="0">
      <selection activeCell="E12" sqref="E12"/>
    </sheetView>
  </sheetViews>
  <sheetFormatPr defaultColWidth="14.44140625" defaultRowHeight="15" customHeight="1" x14ac:dyDescent="0.3"/>
  <cols>
    <col min="1" max="1" width="18.6640625" customWidth="1"/>
    <col min="2" max="2" width="57.6640625" customWidth="1"/>
    <col min="3" max="3" width="82.6640625" customWidth="1"/>
    <col min="4" max="5" width="20.33203125" customWidth="1"/>
    <col min="6" max="10" width="6.6640625" customWidth="1"/>
    <col min="11" max="22" width="8.6640625" customWidth="1"/>
    <col min="23" max="23" width="8.88671875" customWidth="1"/>
    <col min="24" max="24" width="9.6640625" customWidth="1"/>
    <col min="25" max="25" width="8.109375" customWidth="1"/>
  </cols>
  <sheetData>
    <row r="1" spans="1:25" ht="41.25" customHeight="1" x14ac:dyDescent="0.7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</row>
    <row r="2" spans="1:25" ht="60" customHeight="1" x14ac:dyDescent="0.8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5" ht="41.25" customHeight="1" x14ac:dyDescent="0.85">
      <c r="A3" s="2"/>
      <c r="B3" s="2"/>
      <c r="C3" s="2"/>
      <c r="D3" s="2"/>
      <c r="E3" s="2"/>
      <c r="F3" s="2"/>
      <c r="G3" s="2"/>
      <c r="H3" s="2"/>
      <c r="I3" s="2" t="s">
        <v>2</v>
      </c>
      <c r="J3" s="2"/>
      <c r="K3" s="2"/>
      <c r="L3" s="2"/>
      <c r="M3" s="2"/>
      <c r="N3" s="2"/>
      <c r="O3" s="2"/>
      <c r="P3" s="2"/>
    </row>
    <row r="4" spans="1:25" ht="46.5" customHeight="1" x14ac:dyDescent="0.85">
      <c r="A4" s="27" t="s">
        <v>3</v>
      </c>
      <c r="B4" s="27" t="s">
        <v>4</v>
      </c>
      <c r="C4" s="27" t="s">
        <v>5</v>
      </c>
      <c r="D4" s="3" t="s">
        <v>6</v>
      </c>
      <c r="E4" s="27" t="s">
        <v>7</v>
      </c>
      <c r="F4" s="28" t="s">
        <v>8</v>
      </c>
      <c r="G4" s="29"/>
      <c r="H4" s="29"/>
      <c r="I4" s="29"/>
      <c r="J4" s="30"/>
      <c r="K4" s="2" t="s">
        <v>9</v>
      </c>
      <c r="L4" s="2"/>
      <c r="M4" s="2"/>
      <c r="N4" s="2"/>
      <c r="O4" s="2"/>
      <c r="P4" s="2"/>
    </row>
    <row r="5" spans="1:25" ht="36.75" customHeight="1" x14ac:dyDescent="0.85">
      <c r="A5" s="22"/>
      <c r="B5" s="22"/>
      <c r="C5" s="22"/>
      <c r="D5" s="3"/>
      <c r="E5" s="22"/>
      <c r="F5" s="3">
        <v>1</v>
      </c>
      <c r="G5" s="3">
        <v>2</v>
      </c>
      <c r="H5" s="3">
        <v>3</v>
      </c>
      <c r="I5" s="3">
        <v>4</v>
      </c>
      <c r="J5" s="3">
        <v>5</v>
      </c>
      <c r="K5" s="2"/>
      <c r="L5" s="2"/>
      <c r="M5" s="4" t="s">
        <v>10</v>
      </c>
      <c r="N5" s="3">
        <v>1</v>
      </c>
      <c r="O5" s="3">
        <v>2</v>
      </c>
      <c r="P5" s="3">
        <v>3</v>
      </c>
      <c r="Q5" s="3">
        <v>4</v>
      </c>
      <c r="R5" s="3">
        <v>5</v>
      </c>
      <c r="S5" s="5"/>
      <c r="T5" s="5"/>
    </row>
    <row r="6" spans="1:25" ht="78.75" customHeight="1" x14ac:dyDescent="0.85">
      <c r="A6" s="20">
        <v>1</v>
      </c>
      <c r="B6" s="26" t="s">
        <v>11</v>
      </c>
      <c r="C6" s="6" t="s">
        <v>12</v>
      </c>
      <c r="D6" s="7" t="s">
        <v>13</v>
      </c>
      <c r="E6" s="7">
        <v>5</v>
      </c>
      <c r="F6" s="7">
        <v>5</v>
      </c>
      <c r="G6" s="7">
        <v>5</v>
      </c>
      <c r="H6" s="7">
        <v>5</v>
      </c>
      <c r="I6" s="7">
        <v>5</v>
      </c>
      <c r="J6" s="7">
        <v>0</v>
      </c>
      <c r="K6" s="2"/>
      <c r="L6" s="2"/>
      <c r="M6" s="4" t="s">
        <v>14</v>
      </c>
      <c r="N6" s="4">
        <f t="shared" ref="N6:R6" si="0">SUM(F6:F10)</f>
        <v>21</v>
      </c>
      <c r="O6" s="4">
        <f t="shared" si="0"/>
        <v>21</v>
      </c>
      <c r="P6" s="4">
        <f t="shared" si="0"/>
        <v>17</v>
      </c>
      <c r="Q6" s="4">
        <f t="shared" si="0"/>
        <v>5</v>
      </c>
      <c r="R6" s="4">
        <f t="shared" si="0"/>
        <v>0</v>
      </c>
      <c r="S6" s="2"/>
      <c r="T6" s="2"/>
      <c r="U6" s="2"/>
    </row>
    <row r="7" spans="1:25" ht="78.75" customHeight="1" x14ac:dyDescent="0.85">
      <c r="A7" s="21"/>
      <c r="B7" s="21"/>
      <c r="C7" s="8" t="s">
        <v>15</v>
      </c>
      <c r="D7" s="9" t="s">
        <v>16</v>
      </c>
      <c r="E7" s="7">
        <v>4</v>
      </c>
      <c r="F7" s="7">
        <v>4</v>
      </c>
      <c r="G7" s="7">
        <v>4</v>
      </c>
      <c r="H7" s="7">
        <v>4</v>
      </c>
      <c r="I7" s="7">
        <v>0</v>
      </c>
      <c r="J7" s="7">
        <v>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5" ht="78.75" customHeight="1" x14ac:dyDescent="0.85">
      <c r="A8" s="21"/>
      <c r="B8" s="21"/>
      <c r="C8" s="10" t="s">
        <v>17</v>
      </c>
      <c r="D8" s="7" t="s">
        <v>16</v>
      </c>
      <c r="E8" s="7">
        <v>4</v>
      </c>
      <c r="F8" s="7">
        <v>4</v>
      </c>
      <c r="G8" s="7">
        <v>4</v>
      </c>
      <c r="H8" s="7">
        <v>4</v>
      </c>
      <c r="I8" s="7">
        <v>0</v>
      </c>
      <c r="J8" s="7">
        <v>0</v>
      </c>
      <c r="K8" s="2"/>
      <c r="L8" s="2"/>
      <c r="M8" s="2"/>
      <c r="N8" s="2"/>
      <c r="O8" s="2"/>
      <c r="P8" s="2"/>
      <c r="V8" s="11"/>
    </row>
    <row r="9" spans="1:25" ht="78.75" customHeight="1" x14ac:dyDescent="0.85">
      <c r="A9" s="21"/>
      <c r="B9" s="21"/>
      <c r="C9" s="12" t="s">
        <v>18</v>
      </c>
      <c r="D9" s="7" t="s">
        <v>19</v>
      </c>
      <c r="E9" s="7">
        <v>4</v>
      </c>
      <c r="F9" s="7">
        <v>4</v>
      </c>
      <c r="G9" s="7">
        <v>4</v>
      </c>
      <c r="H9" s="7">
        <v>4</v>
      </c>
      <c r="I9" s="7">
        <v>0</v>
      </c>
      <c r="J9" s="7">
        <v>0</v>
      </c>
      <c r="K9" s="2"/>
      <c r="L9" s="2"/>
      <c r="M9" s="2"/>
      <c r="N9" s="2"/>
      <c r="O9" s="2"/>
      <c r="P9" s="2"/>
      <c r="V9" s="11"/>
    </row>
    <row r="10" spans="1:25" ht="78.75" customHeight="1" x14ac:dyDescent="0.85">
      <c r="A10" s="21"/>
      <c r="B10" s="21"/>
      <c r="C10" s="12" t="s">
        <v>20</v>
      </c>
      <c r="D10" s="7" t="s">
        <v>19</v>
      </c>
      <c r="E10" s="7">
        <v>4</v>
      </c>
      <c r="F10" s="7">
        <v>4</v>
      </c>
      <c r="G10" s="7">
        <v>4</v>
      </c>
      <c r="H10" s="7">
        <v>0</v>
      </c>
      <c r="I10" s="7">
        <v>0</v>
      </c>
      <c r="J10" s="13">
        <v>0</v>
      </c>
      <c r="K10" s="14"/>
      <c r="L10" s="2"/>
      <c r="M10" s="2"/>
      <c r="N10" s="2"/>
      <c r="O10" s="2"/>
      <c r="P10" s="2"/>
      <c r="V10" s="15"/>
    </row>
    <row r="11" spans="1:25" ht="78.75" customHeight="1" x14ac:dyDescent="0.85">
      <c r="A11" s="23">
        <v>2</v>
      </c>
      <c r="B11" s="25" t="s">
        <v>21</v>
      </c>
      <c r="C11" s="12" t="s">
        <v>22</v>
      </c>
      <c r="D11" s="7" t="s">
        <v>23</v>
      </c>
      <c r="E11" s="7">
        <v>6</v>
      </c>
      <c r="F11" s="7">
        <v>6</v>
      </c>
      <c r="G11" s="7">
        <v>6</v>
      </c>
      <c r="H11" s="7">
        <v>0</v>
      </c>
      <c r="I11" s="7">
        <v>0</v>
      </c>
      <c r="J11" s="7">
        <v>0</v>
      </c>
      <c r="K11" s="2"/>
      <c r="L11" s="2"/>
      <c r="M11" s="4" t="s">
        <v>10</v>
      </c>
      <c r="N11" s="3">
        <v>1</v>
      </c>
      <c r="O11" s="3">
        <v>2</v>
      </c>
      <c r="P11" s="3">
        <v>3</v>
      </c>
      <c r="Q11" s="3">
        <v>4</v>
      </c>
      <c r="R11" s="3">
        <v>5</v>
      </c>
      <c r="S11" s="5"/>
      <c r="T11" s="5"/>
    </row>
    <row r="12" spans="1:25" ht="78.75" customHeight="1" x14ac:dyDescent="0.85">
      <c r="A12" s="24"/>
      <c r="B12" s="24"/>
      <c r="C12" s="12" t="s">
        <v>24</v>
      </c>
      <c r="D12" s="7" t="s">
        <v>25</v>
      </c>
      <c r="E12" s="7">
        <v>8</v>
      </c>
      <c r="F12" s="7">
        <v>8</v>
      </c>
      <c r="G12" s="7">
        <v>8</v>
      </c>
      <c r="H12" s="7">
        <v>8</v>
      </c>
      <c r="I12" s="7">
        <v>0</v>
      </c>
      <c r="J12" s="7">
        <v>0</v>
      </c>
      <c r="K12" s="2"/>
      <c r="L12" s="2"/>
      <c r="M12" s="4" t="s">
        <v>14</v>
      </c>
      <c r="N12" s="4">
        <v>58</v>
      </c>
      <c r="O12" s="4">
        <f t="shared" ref="O12:R12" si="1">SUM(G11:G17)</f>
        <v>58</v>
      </c>
      <c r="P12" s="4">
        <f t="shared" si="1"/>
        <v>52</v>
      </c>
      <c r="Q12" s="4">
        <f t="shared" si="1"/>
        <v>20</v>
      </c>
      <c r="R12" s="4">
        <f t="shared" si="1"/>
        <v>0</v>
      </c>
      <c r="S12" s="2"/>
      <c r="T12" s="2"/>
    </row>
    <row r="13" spans="1:25" ht="78.75" customHeight="1" x14ac:dyDescent="0.85">
      <c r="A13" s="24"/>
      <c r="B13" s="24"/>
      <c r="C13" s="12" t="s">
        <v>26</v>
      </c>
      <c r="D13" s="7" t="s">
        <v>23</v>
      </c>
      <c r="E13" s="7">
        <v>10</v>
      </c>
      <c r="F13" s="7">
        <v>10</v>
      </c>
      <c r="G13" s="7">
        <v>10</v>
      </c>
      <c r="H13" s="7">
        <v>10</v>
      </c>
      <c r="I13" s="7">
        <v>10</v>
      </c>
      <c r="J13" s="7">
        <v>0</v>
      </c>
      <c r="K13" s="2"/>
      <c r="L13" s="2"/>
      <c r="M13" s="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78.75" customHeight="1" x14ac:dyDescent="0.85">
      <c r="A14" s="24"/>
      <c r="B14" s="24"/>
      <c r="C14" s="12" t="s">
        <v>27</v>
      </c>
      <c r="D14" s="7" t="s">
        <v>28</v>
      </c>
      <c r="E14" s="7">
        <v>10</v>
      </c>
      <c r="F14" s="7">
        <v>10</v>
      </c>
      <c r="G14" s="7">
        <v>10</v>
      </c>
      <c r="H14" s="7">
        <v>10</v>
      </c>
      <c r="I14" s="7">
        <v>10</v>
      </c>
      <c r="J14" s="7">
        <v>0</v>
      </c>
      <c r="K14" s="2"/>
      <c r="L14" s="2"/>
      <c r="M14" s="2"/>
      <c r="N14" s="2"/>
      <c r="O14" s="2"/>
      <c r="P14" s="2"/>
    </row>
    <row r="15" spans="1:25" ht="78.75" customHeight="1" x14ac:dyDescent="0.85">
      <c r="A15" s="24"/>
      <c r="B15" s="24"/>
      <c r="C15" s="12" t="s">
        <v>29</v>
      </c>
      <c r="D15" s="7" t="s">
        <v>28</v>
      </c>
      <c r="E15" s="7">
        <v>8</v>
      </c>
      <c r="F15" s="7">
        <v>8</v>
      </c>
      <c r="G15" s="7">
        <v>8</v>
      </c>
      <c r="H15" s="7">
        <v>8</v>
      </c>
      <c r="I15" s="7">
        <v>0</v>
      </c>
      <c r="J15" s="7">
        <v>0</v>
      </c>
      <c r="K15" s="2"/>
      <c r="L15" s="2"/>
      <c r="M15" s="2"/>
      <c r="N15" s="2"/>
      <c r="O15" s="2"/>
      <c r="P15" s="2"/>
    </row>
    <row r="16" spans="1:25" ht="78.75" customHeight="1" x14ac:dyDescent="0.85">
      <c r="A16" s="24"/>
      <c r="B16" s="24"/>
      <c r="C16" s="12" t="s">
        <v>30</v>
      </c>
      <c r="D16" s="7" t="s">
        <v>28</v>
      </c>
      <c r="E16" s="7">
        <v>8</v>
      </c>
      <c r="F16" s="7">
        <v>8</v>
      </c>
      <c r="G16" s="7">
        <v>8</v>
      </c>
      <c r="H16" s="7">
        <v>8</v>
      </c>
      <c r="I16" s="7">
        <v>0</v>
      </c>
      <c r="J16" s="7">
        <v>0</v>
      </c>
      <c r="K16" s="2"/>
      <c r="L16" s="2"/>
      <c r="M16" s="2"/>
      <c r="N16" s="2"/>
      <c r="O16" s="2"/>
      <c r="P16" s="2"/>
    </row>
    <row r="17" spans="1:25" ht="78.75" customHeight="1" x14ac:dyDescent="0.85">
      <c r="A17" s="24"/>
      <c r="B17" s="24"/>
      <c r="C17" s="12" t="s">
        <v>31</v>
      </c>
      <c r="D17" s="7" t="s">
        <v>28</v>
      </c>
      <c r="E17" s="7">
        <v>8</v>
      </c>
      <c r="F17" s="7">
        <v>8</v>
      </c>
      <c r="G17" s="7">
        <v>8</v>
      </c>
      <c r="H17" s="7">
        <v>8</v>
      </c>
      <c r="I17" s="7">
        <v>0</v>
      </c>
      <c r="J17" s="7">
        <v>0</v>
      </c>
      <c r="K17" s="2"/>
      <c r="L17" s="2"/>
      <c r="M17" s="2"/>
      <c r="N17" s="2"/>
      <c r="O17" s="2"/>
      <c r="P17" s="2"/>
    </row>
    <row r="18" spans="1:25" ht="78.75" customHeight="1" x14ac:dyDescent="0.85">
      <c r="A18" s="20">
        <v>3</v>
      </c>
      <c r="B18" s="26" t="s">
        <v>32</v>
      </c>
      <c r="C18" s="12" t="s">
        <v>33</v>
      </c>
      <c r="D18" s="7" t="s">
        <v>34</v>
      </c>
      <c r="E18" s="7">
        <v>8</v>
      </c>
      <c r="F18" s="7">
        <v>8</v>
      </c>
      <c r="G18" s="7">
        <v>8</v>
      </c>
      <c r="H18" s="7">
        <v>0</v>
      </c>
      <c r="I18" s="7">
        <v>0</v>
      </c>
      <c r="J18" s="7">
        <v>0</v>
      </c>
      <c r="K18" s="2"/>
      <c r="L18" s="2"/>
      <c r="M18" s="4" t="s">
        <v>10</v>
      </c>
      <c r="N18" s="16">
        <v>1</v>
      </c>
      <c r="O18" s="16">
        <v>2</v>
      </c>
      <c r="P18" s="16">
        <v>3</v>
      </c>
      <c r="Q18" s="16">
        <v>4</v>
      </c>
      <c r="R18" s="16">
        <v>5</v>
      </c>
      <c r="S18" s="17"/>
      <c r="T18" s="17"/>
    </row>
    <row r="19" spans="1:25" ht="78.75" customHeight="1" x14ac:dyDescent="0.85">
      <c r="A19" s="21"/>
      <c r="B19" s="21"/>
      <c r="C19" s="12" t="s">
        <v>35</v>
      </c>
      <c r="D19" s="7" t="s">
        <v>34</v>
      </c>
      <c r="E19" s="7">
        <v>4</v>
      </c>
      <c r="F19" s="7">
        <v>4</v>
      </c>
      <c r="G19" s="7">
        <v>4</v>
      </c>
      <c r="H19" s="7">
        <v>0</v>
      </c>
      <c r="I19" s="7">
        <v>0</v>
      </c>
      <c r="J19" s="7">
        <v>0</v>
      </c>
      <c r="K19" s="2"/>
      <c r="L19" s="2"/>
      <c r="M19" s="4" t="s">
        <v>14</v>
      </c>
      <c r="N19" s="4">
        <f t="shared" ref="N19:R19" si="2">SUM(F18:F23)</f>
        <v>38</v>
      </c>
      <c r="O19" s="4">
        <f t="shared" si="2"/>
        <v>38</v>
      </c>
      <c r="P19" s="4">
        <f t="shared" si="2"/>
        <v>20</v>
      </c>
      <c r="Q19" s="4">
        <f t="shared" si="2"/>
        <v>0</v>
      </c>
      <c r="R19" s="4">
        <f t="shared" si="2"/>
        <v>0</v>
      </c>
    </row>
    <row r="20" spans="1:25" ht="78.75" customHeight="1" x14ac:dyDescent="0.85">
      <c r="A20" s="21"/>
      <c r="B20" s="21"/>
      <c r="C20" s="12" t="s">
        <v>36</v>
      </c>
      <c r="D20" s="7" t="s">
        <v>34</v>
      </c>
      <c r="E20" s="7">
        <v>6</v>
      </c>
      <c r="F20" s="7">
        <v>6</v>
      </c>
      <c r="G20" s="7">
        <v>6</v>
      </c>
      <c r="H20" s="7">
        <v>6</v>
      </c>
      <c r="I20" s="7">
        <v>0</v>
      </c>
      <c r="J20" s="7">
        <v>0</v>
      </c>
      <c r="K20" s="2"/>
      <c r="L20" s="2"/>
      <c r="M20" s="2"/>
      <c r="N20" s="2"/>
      <c r="O20" s="2"/>
      <c r="P20" s="2"/>
    </row>
    <row r="21" spans="1:25" ht="78.75" customHeight="1" x14ac:dyDescent="0.85">
      <c r="A21" s="21"/>
      <c r="B21" s="21"/>
      <c r="C21" s="12" t="s">
        <v>37</v>
      </c>
      <c r="D21" s="7" t="s">
        <v>38</v>
      </c>
      <c r="E21" s="7">
        <v>8</v>
      </c>
      <c r="F21" s="7">
        <v>8</v>
      </c>
      <c r="G21" s="7">
        <v>8</v>
      </c>
      <c r="H21" s="7">
        <v>8</v>
      </c>
      <c r="I21" s="7">
        <v>0</v>
      </c>
      <c r="J21" s="7">
        <v>0</v>
      </c>
      <c r="K21" s="2"/>
    </row>
    <row r="22" spans="1:25" ht="78.75" customHeight="1" x14ac:dyDescent="0.85">
      <c r="A22" s="21"/>
      <c r="B22" s="21"/>
      <c r="C22" s="12" t="s">
        <v>39</v>
      </c>
      <c r="D22" s="7" t="s">
        <v>38</v>
      </c>
      <c r="E22" s="7">
        <v>6</v>
      </c>
      <c r="F22" s="7">
        <v>6</v>
      </c>
      <c r="G22" s="7">
        <v>6</v>
      </c>
      <c r="H22" s="7">
        <v>0</v>
      </c>
      <c r="I22" s="7">
        <v>0</v>
      </c>
      <c r="J22" s="7">
        <v>0</v>
      </c>
      <c r="K22" s="2"/>
      <c r="S22" s="2"/>
      <c r="T22" s="2"/>
    </row>
    <row r="23" spans="1:25" ht="78.75" customHeight="1" x14ac:dyDescent="0.85">
      <c r="A23" s="22"/>
      <c r="B23" s="22"/>
      <c r="C23" s="12" t="s">
        <v>40</v>
      </c>
      <c r="D23" s="7" t="s">
        <v>38</v>
      </c>
      <c r="E23" s="7">
        <v>6</v>
      </c>
      <c r="F23" s="7">
        <v>6</v>
      </c>
      <c r="G23" s="7">
        <v>6</v>
      </c>
      <c r="H23" s="7">
        <v>6</v>
      </c>
      <c r="I23" s="7">
        <v>0</v>
      </c>
      <c r="J23" s="7">
        <v>0</v>
      </c>
      <c r="K23" s="2"/>
      <c r="L23" s="2"/>
      <c r="M23" s="2"/>
      <c r="N23" s="2"/>
      <c r="O23" s="2"/>
      <c r="P23" s="2"/>
      <c r="Q23" s="2"/>
    </row>
    <row r="24" spans="1:25" ht="14.25" customHeight="1" x14ac:dyDescent="0.3"/>
    <row r="25" spans="1:25" ht="14.25" customHeight="1" x14ac:dyDescent="0.3"/>
    <row r="26" spans="1:25" ht="36.75" customHeight="1" x14ac:dyDescent="0.85">
      <c r="J26" s="4" t="s">
        <v>10</v>
      </c>
      <c r="K26" s="16">
        <v>1</v>
      </c>
      <c r="L26" s="16">
        <v>2</v>
      </c>
      <c r="M26" s="16">
        <v>3</v>
      </c>
      <c r="N26" s="16">
        <v>4</v>
      </c>
      <c r="O26" s="16">
        <v>5</v>
      </c>
      <c r="P26" s="16">
        <v>6</v>
      </c>
      <c r="Q26" s="16">
        <v>7</v>
      </c>
      <c r="R26" s="16">
        <v>8</v>
      </c>
      <c r="S26" s="16">
        <v>9</v>
      </c>
      <c r="T26" s="16">
        <v>10</v>
      </c>
      <c r="U26" s="16">
        <v>11</v>
      </c>
      <c r="V26" s="16">
        <v>12</v>
      </c>
      <c r="W26" s="16">
        <v>13</v>
      </c>
      <c r="X26" s="16">
        <v>14</v>
      </c>
      <c r="Y26" s="16">
        <v>15</v>
      </c>
    </row>
    <row r="27" spans="1:25" ht="36.75" customHeight="1" x14ac:dyDescent="0.35">
      <c r="J27" s="18" t="s">
        <v>14</v>
      </c>
      <c r="K27" s="18">
        <f>SUM(F6:F10)+N12+N19</f>
        <v>117</v>
      </c>
      <c r="L27" s="18">
        <f>SUM(G6:G10)+N12+N19</f>
        <v>117</v>
      </c>
      <c r="M27" s="18">
        <f>SUM(H6:H10)+N12+N19</f>
        <v>113</v>
      </c>
      <c r="N27" s="18">
        <f>SUM(I6:I10)+N12+N19</f>
        <v>101</v>
      </c>
      <c r="O27" s="18">
        <f>SUM(J6:J10)+N12+N19</f>
        <v>96</v>
      </c>
      <c r="P27" s="18">
        <f>SUM(F11:F17,N19)</f>
        <v>96</v>
      </c>
      <c r="Q27" s="18">
        <f>SUM(G11:G17,N19)</f>
        <v>96</v>
      </c>
      <c r="R27" s="18">
        <f>SUM(H11:H17,N19)</f>
        <v>90</v>
      </c>
      <c r="S27" s="18">
        <f>SUM(I11:I17,N19)</f>
        <v>58</v>
      </c>
      <c r="T27" s="18">
        <f>SUM(J11:J17,N19)</f>
        <v>38</v>
      </c>
      <c r="U27" s="18">
        <f t="shared" ref="U27:Y27" si="3">SUM(F18:F23)</f>
        <v>38</v>
      </c>
      <c r="V27" s="18">
        <f t="shared" si="3"/>
        <v>38</v>
      </c>
      <c r="W27" s="18">
        <f t="shared" si="3"/>
        <v>20</v>
      </c>
      <c r="X27" s="18">
        <f t="shared" si="3"/>
        <v>0</v>
      </c>
      <c r="Y27" s="18">
        <f t="shared" si="3"/>
        <v>0</v>
      </c>
    </row>
    <row r="28" spans="1:25" ht="14.25" customHeight="1" x14ac:dyDescent="0.3">
      <c r="B28" s="19" t="s">
        <v>41</v>
      </c>
    </row>
    <row r="29" spans="1:25" ht="14.25" customHeight="1" x14ac:dyDescent="0.3"/>
    <row r="30" spans="1:25" ht="14.25" customHeight="1" x14ac:dyDescent="0.3"/>
    <row r="31" spans="1:25" ht="14.25" customHeight="1" x14ac:dyDescent="0.3"/>
    <row r="32" spans="1:2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2">
    <mergeCell ref="C4:C5"/>
    <mergeCell ref="E4:E5"/>
    <mergeCell ref="F4:J4"/>
    <mergeCell ref="A1:J1"/>
    <mergeCell ref="A6:A10"/>
    <mergeCell ref="B6:B10"/>
    <mergeCell ref="A18:A23"/>
    <mergeCell ref="A11:A17"/>
    <mergeCell ref="B11:B17"/>
    <mergeCell ref="B18:B23"/>
    <mergeCell ref="A4:A5"/>
    <mergeCell ref="B4:B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nophachat noynart</cp:lastModifiedBy>
  <dcterms:modified xsi:type="dcterms:W3CDTF">2026-01-19T09:36:39Z</dcterms:modified>
</cp:coreProperties>
</file>